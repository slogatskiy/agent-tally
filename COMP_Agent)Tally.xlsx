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By State" sheetId="1" state="visible" r:id="rId1"/>
    <sheet name="By Market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3" fontId="0" fillId="0" borderId="0" applyAlignment="1" pivotButton="0" quotePrefix="0" xfId="0">
      <alignment horizontal="center"/>
    </xf>
    <xf numFmtId="0" fontId="4" fillId="0" borderId="0" pivotButton="0" quotePrefix="0" xfId="0"/>
    <xf numFmtId="1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pivotButton="0" quotePrefix="0" xfId="0"/>
    <xf numFmtId="3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2" fillId="0" borderId="0" pivotButton="0" quotePrefix="0" xfId="0"/>
    <xf numFmtId="3" fontId="0" fillId="0" borderId="0" applyAlignment="1" pivotButton="0" quotePrefix="0" xfId="1">
      <alignment horizontal="center"/>
    </xf>
    <xf numFmtId="0" fontId="0" fillId="0" borderId="2" applyAlignment="1" pivotButton="0" quotePrefix="0" xfId="1">
      <alignment horizontal="center"/>
    </xf>
    <xf numFmtId="1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pass.com/agents/locations/california/192319/" TargetMode="External" Id="rId1" /><Relationship Type="http://schemas.openxmlformats.org/officeDocument/2006/relationships/hyperlink" Target="https://www.compass.com/agents/locations/colorado/192320/" TargetMode="External" Id="rId2" /><Relationship Type="http://schemas.openxmlformats.org/officeDocument/2006/relationships/hyperlink" Target="https://www.compass.com/agents/locations/florida/192324/" TargetMode="External" Id="rId3" /><Relationship Type="http://schemas.openxmlformats.org/officeDocument/2006/relationships/hyperlink" Target="https://www.compass.com/agents/locations/hawaii/192326/" TargetMode="External" Id="rId4" /><Relationship Type="http://schemas.openxmlformats.org/officeDocument/2006/relationships/hyperlink" Target="https://www.compass.com/agents/locations/illinois/192327/" TargetMode="External" Id="rId5" /><Relationship Type="http://schemas.openxmlformats.org/officeDocument/2006/relationships/hyperlink" Target="https://www.compass.com/agents/locations/kansas/286476/" TargetMode="External" Id="rId6" /><Relationship Type="http://schemas.openxmlformats.org/officeDocument/2006/relationships/hyperlink" Target="https://www.compass.com/agents/locations/massachusetts/192329/" TargetMode="External" Id="rId7" /><Relationship Type="http://schemas.openxmlformats.org/officeDocument/2006/relationships/hyperlink" Target="https://www.compass.com/agents/locations/maryland/192330/" TargetMode="External" Id="rId8" /><Relationship Type="http://schemas.openxmlformats.org/officeDocument/2006/relationships/hyperlink" Target="https://www.compass.com/agents/locations/missouri/192333/" TargetMode="External" Id="rId9" /><Relationship Type="http://schemas.openxmlformats.org/officeDocument/2006/relationships/hyperlink" Target="https://www.compass.com/agents/locations/north-carolina/192335/" TargetMode="External" Id="rId10" /><Relationship Type="http://schemas.openxmlformats.org/officeDocument/2006/relationships/hyperlink" Target="https://www.compass.com/agents/locations/new-jersey/192336/" TargetMode="External" Id="rId11" /><Relationship Type="http://schemas.openxmlformats.org/officeDocument/2006/relationships/hyperlink" Target="https://www.compass.com/agents/locations/nevada/192338/" TargetMode="External" Id="rId12" /><Relationship Type="http://schemas.openxmlformats.org/officeDocument/2006/relationships/hyperlink" Target="https://www.compass.com/agents/locations/new-york/192339/" TargetMode="External" Id="rId13" /><Relationship Type="http://schemas.openxmlformats.org/officeDocument/2006/relationships/hyperlink" Target="https://www.compass.com/agents/locations/pennsylvania/192342/" TargetMode="External" Id="rId14" /><Relationship Type="http://schemas.openxmlformats.org/officeDocument/2006/relationships/hyperlink" Target="https://www.compass.com/agents/locations/texas/192345/" TargetMode="External" Id="rId15" /><Relationship Type="http://schemas.openxmlformats.org/officeDocument/2006/relationships/hyperlink" Target="https://www.compass.com/agents/locations/virginia-va/30573/" TargetMode="External" Id="rId16" /><Relationship Type="http://schemas.openxmlformats.org/officeDocument/2006/relationships/hyperlink" Target="https://www.compass.com/agents/locations/washington/192347/" TargetMode="External" Id="rId17" /><Relationship Type="http://schemas.openxmlformats.org/officeDocument/2006/relationships/hyperlink" Target="https://www.compass.com/agents/locations/wisconsin/192348/" TargetMode="External" Id="rId18" /><Relationship Type="http://schemas.openxmlformats.org/officeDocument/2006/relationships/hyperlink" Target="https://www.compass.com/agents/locations/wyoming/301168/" TargetMode="External" Id="rId19" /><Relationship Type="http://schemas.openxmlformats.org/officeDocument/2006/relationships/hyperlink" Target="https://www.compass.com/agents/locations/oregon/192341/" TargetMode="External" Id="rId20" /><Relationship Type="http://schemas.openxmlformats.org/officeDocument/2006/relationships/hyperlink" Target="https://www.compass.com/agents/locations/idaho/301167/" TargetMode="External" Id="rId21" /><Relationship Type="http://schemas.openxmlformats.org/officeDocument/2006/relationships/hyperlink" Target="https://www.compass.com/agents/locations/arizona/192318/" TargetMode="External" Id="rId22" /><Relationship Type="http://schemas.openxmlformats.org/officeDocument/2006/relationships/hyperlink" Target="https://www.compass.com/agents/locations/tennessee/192344/" TargetMode="External" Id="rId23" /><Relationship Type="http://schemas.openxmlformats.org/officeDocument/2006/relationships/hyperlink" Target="https://www.compass.com/agents/locations/minnesota/192332/" TargetMode="External" Id="rId24" /><Relationship Type="http://schemas.openxmlformats.org/officeDocument/2006/relationships/hyperlink" Target="https://www.compass.com/agents/locations/louisiana/291195/" TargetMode="External" Id="rId25" /><Relationship Type="http://schemas.openxmlformats.org/officeDocument/2006/relationships/hyperlink" Target="https://www.compass.com/agents/locations/mississippi/192334/" TargetMode="External" Id="rId26" /><Relationship Type="http://schemas.openxmlformats.org/officeDocument/2006/relationships/hyperlink" Target="https://www.compass.com/agents/locations/indiana/192328/" TargetMode="External" Id="rId27" /><Relationship Type="http://schemas.openxmlformats.org/officeDocument/2006/relationships/hyperlink" Target="https://www.compass.com/agents/locations/georgia/192325/" TargetMode="External" Id="rId28" /><Relationship Type="http://schemas.openxmlformats.org/officeDocument/2006/relationships/hyperlink" Target="https://www.compass.com/agents/locations/south-carolina/192343/" TargetMode="External" Id="rId29" /><Relationship Type="http://schemas.openxmlformats.org/officeDocument/2006/relationships/hyperlink" Target="https://www.compass.com/agents/locations/delaware/192323/" TargetMode="External" Id="rId30" /><Relationship Type="http://schemas.openxmlformats.org/officeDocument/2006/relationships/hyperlink" Target="https://www.compass.com/agents/locations/connecticut/192321/" TargetMode="External" Id="rId31" /><Relationship Type="http://schemas.openxmlformats.org/officeDocument/2006/relationships/hyperlink" Target="https://www.compass.com/agents/locations/new-hampshire/203613/" TargetMode="External" Id="rId32" /><Relationship Type="http://schemas.openxmlformats.org/officeDocument/2006/relationships/hyperlink" Target="https://www.compass.com/agents/locations/maine/203612/" TargetMode="External" Id="rId33" /><Relationship Type="http://schemas.openxmlformats.org/officeDocument/2006/relationships/hyperlink" Target="https://www.compass.com/agents/locations/district-of-columbia/192322/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pass.com/agents/locations/aspen-co/24050/" TargetMode="External" Id="rId1" /><Relationship Type="http://schemas.openxmlformats.org/officeDocument/2006/relationships/hyperlink" Target="https://www.compass.com/agents/locations/atlanta-ga/12627/" TargetMode="External" Id="rId2" /><Relationship Type="http://schemas.openxmlformats.org/officeDocument/2006/relationships/hyperlink" Target="https://www.compass.com/agents/locations/austin-tx/42626/" TargetMode="External" Id="rId3" /><Relationship Type="http://schemas.openxmlformats.org/officeDocument/2006/relationships/hyperlink" Target="https://www.compass.com/agents/locations/baltimore-md/14250/" TargetMode="External" Id="rId4" /><Relationship Type="http://schemas.openxmlformats.org/officeDocument/2006/relationships/hyperlink" Target="https://www.compass.com/agents/locations/bellevue-wa/9972/" TargetMode="External" Id="rId5" /><Relationship Type="http://schemas.openxmlformats.org/officeDocument/2006/relationships/hyperlink" Target="https://www.compass.com/agents/locations/boston-ma/10545/" TargetMode="External" Id="rId6" /><Relationship Type="http://schemas.openxmlformats.org/officeDocument/2006/relationships/hyperlink" Target="https://www.compass.com/agents/locations/boulder-co/16175/" TargetMode="External" Id="rId7" /><Relationship Type="http://schemas.openxmlformats.org/officeDocument/2006/relationships/hyperlink" Target="https://www.compass.com/agents/locations/chicago-il/37237/" TargetMode="External" Id="rId8" /><Relationship Type="http://schemas.openxmlformats.org/officeDocument/2006/relationships/hyperlink" Target="https://www.compass.com/agents/locations/dallas-tx/40435/" TargetMode="External" Id="rId9" /><Relationship Type="http://schemas.openxmlformats.org/officeDocument/2006/relationships/hyperlink" Target="https://www.compass.com/agents/locations/denver-co/28907/" TargetMode="External" Id="rId10" /><Relationship Type="http://schemas.openxmlformats.org/officeDocument/2006/relationships/hyperlink" Target="https://www.compass.com/agents/locations/durham-nc/11215/" TargetMode="External" Id="rId11" /><Relationship Type="http://schemas.openxmlformats.org/officeDocument/2006/relationships/hyperlink" Target="https://www.compass.com/agents/locations/fort-worth-tx/40574/" TargetMode="External" Id="rId12" /><Relationship Type="http://schemas.openxmlformats.org/officeDocument/2006/relationships/hyperlink" Target="https://www.compass.com/agents/locations/the-hamptons-ny/19874/" TargetMode="External" Id="rId13" /><Relationship Type="http://schemas.openxmlformats.org/officeDocument/2006/relationships/hyperlink" Target="https://www.compass.com/agents/locations/hawaii-hi/32341/" TargetMode="External" Id="rId14" /><Relationship Type="http://schemas.openxmlformats.org/officeDocument/2006/relationships/hyperlink" Target="https://www.compass.com/agents/locations/houston-tx/39869/" TargetMode="External" Id="rId15" /><Relationship Type="http://schemas.openxmlformats.org/officeDocument/2006/relationships/hyperlink" Target="https://www.compass.com/agents/locations/jackson-wy/301212/" TargetMode="External" Id="rId16" /><Relationship Type="http://schemas.openxmlformats.org/officeDocument/2006/relationships/hyperlink" Target="https://www.compass.com/agents/locations/jacksonville-fl/2801/" TargetMode="External" Id="rId17" /><Relationship Type="http://schemas.openxmlformats.org/officeDocument/2006/relationships/hyperlink" Target="https://www.compass.com/agents/locations/kansas-city-mo/286659/" TargetMode="External" Id="rId18" /><Relationship Type="http://schemas.openxmlformats.org/officeDocument/2006/relationships/hyperlink" Target="https://www.compass.com/agents/locations/lake-tahoe-ca/315001/" TargetMode="External" Id="rId19" /><Relationship Type="http://schemas.openxmlformats.org/officeDocument/2006/relationships/hyperlink" Target="https://www.compass.com/agents/locations/los-angeles-ca/12902/" TargetMode="External" Id="rId20" /><Relationship Type="http://schemas.openxmlformats.org/officeDocument/2006/relationships/hyperlink" Target="https://www.compass.com/agents/locations/miami-fl/35648/" TargetMode="External" Id="rId21" /><Relationship Type="http://schemas.openxmlformats.org/officeDocument/2006/relationships/hyperlink" Target="https://www.compass.com/agents/locations/milwaukee-wi/289205/" TargetMode="External" Id="rId22" /><Relationship Type="http://schemas.openxmlformats.org/officeDocument/2006/relationships/hyperlink" Target="https://www.compass.com/agents/locations/montecito-ca/17434/" TargetMode="External" Id="rId23" /><Relationship Type="http://schemas.openxmlformats.org/officeDocument/2006/relationships/hyperlink" Target="https://www.compass.com/agents/locations/naples-fl/21583/" TargetMode="External" Id="rId24" /><Relationship Type="http://schemas.openxmlformats.org/officeDocument/2006/relationships/hyperlink" Target="https://www.compass.com/agents/locations/nashville-tn/27781/" TargetMode="External" Id="rId25" /><Relationship Type="http://schemas.openxmlformats.org/officeDocument/2006/relationships/hyperlink" Target="https://www.compass.com/agents/locations/new-york-ny/21429/" TargetMode="External" Id="rId26" /><Relationship Type="http://schemas.openxmlformats.org/officeDocument/2006/relationships/hyperlink" Target="https://www.compass.com/agents/locations/orange-county-ca/13970/" TargetMode="External" Id="rId27" /><Relationship Type="http://schemas.openxmlformats.org/officeDocument/2006/relationships/hyperlink" Target="https://www.compass.com/agents/locations/orlando-fl/39022/" TargetMode="External" Id="rId28" /><Relationship Type="http://schemas.openxmlformats.org/officeDocument/2006/relationships/hyperlink" Target="https://www.compass.com/agents/locations/philadelphia-pa/14527/" TargetMode="External" Id="rId29" /><Relationship Type="http://schemas.openxmlformats.org/officeDocument/2006/relationships/hyperlink" Target="https://www.compass.com/agents/locations/pittsburgh-pa/26675/" TargetMode="External" Id="rId30" /><Relationship Type="http://schemas.openxmlformats.org/officeDocument/2006/relationships/hyperlink" Target="https://www.compass.com/agents/locations/raleigh-nc/11232/" TargetMode="External" Id="rId31" /><Relationship Type="http://schemas.openxmlformats.org/officeDocument/2006/relationships/hyperlink" Target="https://www.compass.com/agents/locations/san-diego-ca/20243/" TargetMode="External" Id="rId32" /><Relationship Type="http://schemas.openxmlformats.org/officeDocument/2006/relationships/hyperlink" Target="https://www.compass.com/agents/locations/san-francisco-ca/44474/" TargetMode="External" Id="rId33" /><Relationship Type="http://schemas.openxmlformats.org/officeDocument/2006/relationships/hyperlink" Target="https://www.compass.com/agents/locations/santa-barbara-ca/17456/" TargetMode="External" Id="rId34" /><Relationship Type="http://schemas.openxmlformats.org/officeDocument/2006/relationships/hyperlink" Target="https://www.compass.com/agents/locations/seattle-wa/9962/" TargetMode="External" Id="rId35" /><Relationship Type="http://schemas.openxmlformats.org/officeDocument/2006/relationships/hyperlink" Target="https://www.compass.com/agents/locations/tampa-fl/33352/" TargetMode="External" Id="rId36" /><Relationship Type="http://schemas.openxmlformats.org/officeDocument/2006/relationships/hyperlink" Target="https://www.compass.com/agents/locations/telluride-co/36404/" TargetMode="External" Id="rId37" /><Relationship Type="http://schemas.openxmlformats.org/officeDocument/2006/relationships/hyperlink" Target="https://www.compass.com/agents/locations/vail-co/24036/" TargetMode="External" Id="rId38" /><Relationship Type="http://schemas.openxmlformats.org/officeDocument/2006/relationships/hyperlink" Target="https://www.compass.com/agents/locations/washington-dc/30230/" TargetMode="External" Id="rId39" /><Relationship Type="http://schemas.openxmlformats.org/officeDocument/2006/relationships/hyperlink" Target="https://www.compass.com/agents/locations/westchester-county-ny/780/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tabSelected="1" workbookViewId="0">
      <selection activeCell="D12" sqref="D12"/>
    </sheetView>
  </sheetViews>
  <sheetFormatPr baseColWidth="8" defaultRowHeight="15"/>
  <cols>
    <col width="12" bestFit="1" customWidth="1" style="3" min="2" max="3"/>
    <col width="12" customWidth="1" style="3" min="4" max="5"/>
    <col width="12.28515625" bestFit="1" customWidth="1" min="6" max="8"/>
    <col width="9.7109375" bestFit="1" customWidth="1" style="3" min="14" max="14"/>
    <col width="9.140625" customWidth="1" style="3" min="15" max="16"/>
    <col width="13.5703125" customWidth="1" style="3" min="17" max="17"/>
  </cols>
  <sheetData>
    <row r="1">
      <c r="A1" s="6" t="n"/>
      <c r="B1" s="7" t="n">
        <v>45917</v>
      </c>
      <c r="C1" s="7" t="n">
        <v>45964</v>
      </c>
      <c r="D1" s="7" t="n">
        <v>45985</v>
      </c>
      <c r="E1" s="7" t="n">
        <v>46002</v>
      </c>
      <c r="F1" s="7" t="n">
        <v>46021</v>
      </c>
      <c r="G1" s="7" t="n">
        <v>46118</v>
      </c>
      <c r="H1" s="7" t="n">
        <v>46146</v>
      </c>
      <c r="I1" s="7" t="n">
        <v>46211</v>
      </c>
      <c r="O1" s="8" t="n"/>
      <c r="P1" s="8" t="n"/>
      <c r="Q1" s="8" t="n"/>
      <c r="R1" s="6" t="n"/>
      <c r="S1" s="6" t="n"/>
      <c r="T1" s="6" t="n"/>
      <c r="U1" s="6" t="n"/>
    </row>
    <row r="2">
      <c r="A2" s="6" t="inlineStr">
        <is>
          <t>State</t>
        </is>
      </c>
      <c r="B2" s="8" t="inlineStr">
        <is>
          <t>Agent Count</t>
        </is>
      </c>
      <c r="C2" s="8" t="inlineStr">
        <is>
          <t>Agent Count</t>
        </is>
      </c>
      <c r="D2" s="8" t="inlineStr">
        <is>
          <t>Agent Count</t>
        </is>
      </c>
      <c r="E2" s="8" t="inlineStr">
        <is>
          <t>Agent Count</t>
        </is>
      </c>
      <c r="F2" s="8" t="inlineStr">
        <is>
          <t>Agent Count</t>
        </is>
      </c>
      <c r="G2" s="8" t="inlineStr">
        <is>
          <t>Agent Count</t>
        </is>
      </c>
      <c r="H2" s="8" t="inlineStr">
        <is>
          <t>Agent Count</t>
        </is>
      </c>
      <c r="I2" s="8" t="inlineStr">
        <is>
          <t>Agent Count</t>
        </is>
      </c>
      <c r="O2" s="5" t="n"/>
      <c r="P2" s="5" t="n"/>
    </row>
    <row r="3">
      <c r="A3" t="inlineStr">
        <is>
          <t>CA</t>
        </is>
      </c>
      <c r="B3" s="5" t="n">
        <v>8385</v>
      </c>
      <c r="C3" s="3" t="n">
        <v>8424</v>
      </c>
      <c r="D3" s="3" t="n">
        <v>8461</v>
      </c>
      <c r="E3" s="3" t="n">
        <v>8431</v>
      </c>
      <c r="F3" s="3" t="n">
        <v>8325</v>
      </c>
      <c r="G3" s="3" t="n">
        <v>8334</v>
      </c>
      <c r="H3" s="3" t="n">
        <v>8336</v>
      </c>
      <c r="I3" s="13" t="n">
        <v>8417</v>
      </c>
      <c r="J3" s="14" t="inlineStr">
        <is>
          <t>California Agents, 8385 Compass Real Estate Agents - Compass</t>
        </is>
      </c>
      <c r="O3" s="5" t="n"/>
      <c r="P3" s="5" t="n"/>
    </row>
    <row r="4">
      <c r="A4" t="inlineStr">
        <is>
          <t>CO</t>
        </is>
      </c>
      <c r="B4" s="5" t="n">
        <v>1122</v>
      </c>
      <c r="C4" s="3" t="n">
        <v>1203</v>
      </c>
      <c r="D4" s="3" t="n">
        <v>1203</v>
      </c>
      <c r="E4" s="3" t="n">
        <v>1214</v>
      </c>
      <c r="F4" s="3" t="n">
        <v>1211</v>
      </c>
      <c r="G4" s="3" t="n">
        <v>1233</v>
      </c>
      <c r="H4" s="3" t="n">
        <v>1233</v>
      </c>
      <c r="I4" s="13" t="n">
        <v>1248</v>
      </c>
      <c r="J4" s="14" t="inlineStr">
        <is>
          <t>Colorado Agents, 1122 Compass Real Estate Agents - Compass</t>
        </is>
      </c>
    </row>
    <row r="5">
      <c r="A5" t="inlineStr">
        <is>
          <t>FL</t>
        </is>
      </c>
      <c r="B5" s="5" t="n">
        <v>2885</v>
      </c>
      <c r="C5" s="3" t="n">
        <v>2936</v>
      </c>
      <c r="D5" s="3" t="n">
        <v>2963</v>
      </c>
      <c r="E5" s="3" t="n">
        <v>2968</v>
      </c>
      <c r="F5" s="3" t="n">
        <v>2970</v>
      </c>
      <c r="G5" s="3" t="n">
        <v>3006</v>
      </c>
      <c r="H5" s="3" t="n">
        <v>3031</v>
      </c>
      <c r="I5" s="13" t="n">
        <v>3267</v>
      </c>
      <c r="J5" s="14" t="inlineStr">
        <is>
          <t>Florida Agents, 2885 Compass Real Estate Agents - Compass</t>
        </is>
      </c>
    </row>
    <row r="6">
      <c r="A6" t="inlineStr">
        <is>
          <t>HI</t>
        </is>
      </c>
      <c r="B6" s="5" t="n">
        <v>298</v>
      </c>
      <c r="C6" s="3" t="n">
        <v>304</v>
      </c>
      <c r="D6" s="3" t="n">
        <v>309</v>
      </c>
      <c r="E6" s="3" t="n">
        <v>304</v>
      </c>
      <c r="F6" s="3" t="n">
        <v>300</v>
      </c>
      <c r="G6" s="3" t="n">
        <v>304</v>
      </c>
      <c r="H6" s="3" t="n">
        <v>303</v>
      </c>
      <c r="I6" s="13" t="n">
        <v>308</v>
      </c>
      <c r="J6" s="14" t="inlineStr">
        <is>
          <t>Hawaii Agents, 298 Compass Real Estate Agents - Compass</t>
        </is>
      </c>
    </row>
    <row r="7">
      <c r="A7" t="inlineStr">
        <is>
          <t>IL</t>
        </is>
      </c>
      <c r="B7" s="5" t="n">
        <v>1744</v>
      </c>
      <c r="C7" s="3" t="n">
        <v>1743</v>
      </c>
      <c r="D7" s="3" t="n">
        <v>1745</v>
      </c>
      <c r="E7" s="3" t="n">
        <v>1754</v>
      </c>
      <c r="F7" s="3" t="n">
        <v>1759</v>
      </c>
      <c r="G7" s="3" t="n">
        <v>1750</v>
      </c>
      <c r="H7" s="3" t="n">
        <v>1745</v>
      </c>
      <c r="I7" s="13" t="n">
        <v>1753</v>
      </c>
      <c r="J7" s="14" t="inlineStr">
        <is>
          <t>Illinois Agents, 1744 Compass Real Estate Agents - Compass</t>
        </is>
      </c>
    </row>
    <row r="8">
      <c r="A8" t="inlineStr">
        <is>
          <t>KS</t>
        </is>
      </c>
      <c r="B8" s="5" t="n">
        <v>283</v>
      </c>
      <c r="C8" s="3" t="n">
        <v>277</v>
      </c>
      <c r="D8" s="3" t="n">
        <v>277</v>
      </c>
      <c r="E8" s="3" t="n">
        <v>277</v>
      </c>
      <c r="F8" s="3" t="n">
        <v>276</v>
      </c>
      <c r="G8" s="3" t="n">
        <v>282</v>
      </c>
      <c r="H8" s="3" t="n">
        <v>282</v>
      </c>
      <c r="I8" s="13" t="n">
        <v>284</v>
      </c>
      <c r="J8" s="14" t="inlineStr">
        <is>
          <t>Kansas Agents, 283 Compass Real Estate Agents - Compass</t>
        </is>
      </c>
    </row>
    <row r="9">
      <c r="A9" t="inlineStr">
        <is>
          <t>MA</t>
        </is>
      </c>
      <c r="B9" s="5" t="n">
        <v>1329</v>
      </c>
      <c r="C9" s="3" t="n">
        <v>1323</v>
      </c>
      <c r="D9" s="3" t="n">
        <v>1318</v>
      </c>
      <c r="E9" s="3" t="n">
        <v>1315</v>
      </c>
      <c r="F9" s="3" t="n">
        <v>1305</v>
      </c>
      <c r="G9" s="3" t="n">
        <v>1279</v>
      </c>
      <c r="H9" s="3" t="n">
        <v>1278</v>
      </c>
      <c r="I9" s="13" t="n">
        <v>1297</v>
      </c>
      <c r="J9" s="14" t="inlineStr">
        <is>
          <t>Massachusetts Agents, 1329 Compass Real Estate Agents - Compass</t>
        </is>
      </c>
    </row>
    <row r="10">
      <c r="A10" t="inlineStr">
        <is>
          <t>MD</t>
        </is>
      </c>
      <c r="B10" s="5" t="n">
        <v>1296</v>
      </c>
      <c r="C10" s="3" t="n">
        <v>1304</v>
      </c>
      <c r="D10" s="3" t="n">
        <v>1298</v>
      </c>
      <c r="E10" s="3" t="n">
        <v>1290</v>
      </c>
      <c r="F10" s="3" t="n">
        <v>1291</v>
      </c>
      <c r="G10" s="3" t="n">
        <v>1311</v>
      </c>
      <c r="H10" s="3" t="n">
        <v>1322</v>
      </c>
      <c r="I10" s="13" t="n">
        <v>1319</v>
      </c>
      <c r="J10" s="14" t="inlineStr">
        <is>
          <t>Maryland Agents, 1296 Compass Real Estate Agents - Compass</t>
        </is>
      </c>
    </row>
    <row r="11">
      <c r="A11" t="inlineStr">
        <is>
          <t>MO</t>
        </is>
      </c>
      <c r="B11" s="5" t="n">
        <v>374</v>
      </c>
      <c r="C11" s="3" t="n">
        <v>371</v>
      </c>
      <c r="D11" s="3" t="n">
        <v>371</v>
      </c>
      <c r="E11" s="3" t="n">
        <v>372</v>
      </c>
      <c r="F11" s="3" t="n">
        <v>371</v>
      </c>
      <c r="G11" s="3" t="n">
        <v>377</v>
      </c>
      <c r="H11" s="3" t="n">
        <v>375</v>
      </c>
      <c r="I11" s="13" t="n">
        <v>378</v>
      </c>
      <c r="J11" s="14" t="inlineStr">
        <is>
          <t>Missouri Agents, 374 Compass Real Estate Agents - Compass</t>
        </is>
      </c>
    </row>
    <row r="12">
      <c r="A12" t="inlineStr">
        <is>
          <t>NC</t>
        </is>
      </c>
      <c r="B12" s="5" t="n">
        <v>687</v>
      </c>
      <c r="C12" s="3" t="n">
        <v>698</v>
      </c>
      <c r="D12" s="3" t="n">
        <v>706</v>
      </c>
      <c r="E12" s="3" t="n">
        <v>707</v>
      </c>
      <c r="F12" s="3" t="n">
        <v>704</v>
      </c>
      <c r="G12" s="3" t="n">
        <v>701</v>
      </c>
      <c r="H12" s="3" t="n">
        <v>699</v>
      </c>
      <c r="I12" s="13" t="n">
        <v>734</v>
      </c>
      <c r="J12" s="14" t="inlineStr">
        <is>
          <t>North Carolina Agents, 687 Compass Real Estate Agents - Compass</t>
        </is>
      </c>
    </row>
    <row r="13">
      <c r="A13" t="inlineStr">
        <is>
          <t>NJ</t>
        </is>
      </c>
      <c r="B13" s="5" t="n">
        <v>852</v>
      </c>
      <c r="C13" s="3" t="n">
        <v>865</v>
      </c>
      <c r="D13" s="3" t="n">
        <v>865</v>
      </c>
      <c r="E13" s="3" t="n">
        <v>868</v>
      </c>
      <c r="F13" s="3" t="n">
        <v>859</v>
      </c>
      <c r="G13" s="3" t="n">
        <v>860</v>
      </c>
      <c r="H13" s="3" t="n">
        <v>864</v>
      </c>
      <c r="I13" s="13" t="n">
        <v>863</v>
      </c>
      <c r="J13" s="14" t="inlineStr">
        <is>
          <t>New Jersey Agents, 852 Compass Real Estate Agents - Compass</t>
        </is>
      </c>
    </row>
    <row r="14">
      <c r="A14" t="inlineStr">
        <is>
          <t>NV</t>
        </is>
      </c>
      <c r="B14" s="5" t="n">
        <v>66</v>
      </c>
      <c r="C14" s="3" t="n">
        <v>61</v>
      </c>
      <c r="D14" s="3" t="n">
        <v>62</v>
      </c>
      <c r="E14" s="3" t="n">
        <v>63</v>
      </c>
      <c r="F14" s="3" t="n">
        <v>64</v>
      </c>
      <c r="G14" s="3" t="n">
        <v>68</v>
      </c>
      <c r="H14" s="3" t="n">
        <v>71</v>
      </c>
      <c r="I14" s="13" t="n">
        <v>80</v>
      </c>
      <c r="J14" s="14" t="inlineStr">
        <is>
          <t>Nevada Agents, 66 Compass Real Estate Agents - Compass</t>
        </is>
      </c>
    </row>
    <row r="15">
      <c r="A15" t="inlineStr">
        <is>
          <t>NY</t>
        </is>
      </c>
      <c r="B15" s="5" t="n">
        <v>3427</v>
      </c>
      <c r="C15" s="3" t="n">
        <v>3431</v>
      </c>
      <c r="D15" s="3" t="n">
        <v>3440</v>
      </c>
      <c r="E15" s="3" t="n">
        <v>3434</v>
      </c>
      <c r="F15" s="3" t="n">
        <v>3412</v>
      </c>
      <c r="G15" s="3" t="n">
        <v>3396</v>
      </c>
      <c r="H15" s="3" t="n">
        <v>3406</v>
      </c>
      <c r="I15" s="13" t="n">
        <v>3416</v>
      </c>
      <c r="J15" s="14" t="inlineStr">
        <is>
          <t>New York Agents, 3427 Compass Real Estate Agents - Compass</t>
        </is>
      </c>
    </row>
    <row r="16">
      <c r="A16" t="inlineStr">
        <is>
          <t>PA</t>
        </is>
      </c>
      <c r="B16" s="5" t="n">
        <v>1224</v>
      </c>
      <c r="C16" s="3" t="n">
        <v>1228</v>
      </c>
      <c r="D16" s="3" t="n">
        <v>1214</v>
      </c>
      <c r="E16" s="3" t="n">
        <v>1215</v>
      </c>
      <c r="F16" s="3" t="n">
        <v>1199</v>
      </c>
      <c r="G16" s="3" t="n">
        <v>1198</v>
      </c>
      <c r="H16" s="3" t="n">
        <v>1216</v>
      </c>
      <c r="I16" s="13" t="n">
        <v>1223</v>
      </c>
      <c r="J16" s="14" t="inlineStr">
        <is>
          <t>Pennsylvania Agents, 1224 Compass Real Estate Agents - Compass</t>
        </is>
      </c>
    </row>
    <row r="17">
      <c r="A17" t="inlineStr">
        <is>
          <t>TX</t>
        </is>
      </c>
      <c r="B17" s="5" t="n">
        <v>3074</v>
      </c>
      <c r="C17" s="3" t="n">
        <v>3064</v>
      </c>
      <c r="D17" s="3" t="n">
        <v>3066</v>
      </c>
      <c r="E17" s="3" t="n">
        <v>3090</v>
      </c>
      <c r="F17" s="3" t="n">
        <v>3082</v>
      </c>
      <c r="G17" s="3" t="n">
        <v>3127</v>
      </c>
      <c r="H17" s="3" t="n">
        <v>3174</v>
      </c>
      <c r="I17" s="13" t="n">
        <v>3174</v>
      </c>
      <c r="J17" s="14" t="inlineStr">
        <is>
          <t>Texas Agents, 3074 Compass Real Estate Agents - Compass</t>
        </is>
      </c>
    </row>
    <row r="18">
      <c r="A18" t="inlineStr">
        <is>
          <t>VA</t>
        </is>
      </c>
      <c r="B18" s="5" t="n">
        <v>902</v>
      </c>
      <c r="C18" s="3" t="n">
        <v>899</v>
      </c>
      <c r="D18" s="3" t="n">
        <v>912</v>
      </c>
      <c r="E18" s="3" t="n">
        <v>908</v>
      </c>
      <c r="F18" s="3" t="n">
        <v>906</v>
      </c>
      <c r="G18" s="3" t="n">
        <v>909</v>
      </c>
      <c r="H18" s="3" t="n">
        <v>905</v>
      </c>
      <c r="I18" s="13" t="n">
        <v>902</v>
      </c>
      <c r="J18" s="14" t="inlineStr">
        <is>
          <t>Virginia Agents, 902 Compass Real Estate Agents - Compass</t>
        </is>
      </c>
    </row>
    <row r="19">
      <c r="A19" t="inlineStr">
        <is>
          <t>WA</t>
        </is>
      </c>
      <c r="B19" s="5" t="n">
        <v>902</v>
      </c>
      <c r="C19" s="3" t="n">
        <v>931</v>
      </c>
      <c r="D19" s="3" t="n">
        <v>932</v>
      </c>
      <c r="E19" s="3" t="n">
        <v>938</v>
      </c>
      <c r="F19" s="3" t="n">
        <v>921</v>
      </c>
      <c r="G19" s="3" t="n">
        <v>923</v>
      </c>
      <c r="H19" s="3" t="n">
        <v>925</v>
      </c>
      <c r="I19" s="13" t="n">
        <v>934</v>
      </c>
      <c r="J19" s="14" t="inlineStr">
        <is>
          <t>Washington Agents, 902 Compass Real Estate Agents - Compass</t>
        </is>
      </c>
    </row>
    <row r="20">
      <c r="A20" t="inlineStr">
        <is>
          <t>WI</t>
        </is>
      </c>
      <c r="B20" s="5" t="n">
        <v>240</v>
      </c>
      <c r="C20" s="3" t="n">
        <v>243</v>
      </c>
      <c r="D20" s="3" t="n">
        <v>246</v>
      </c>
      <c r="E20" s="3" t="n">
        <v>246</v>
      </c>
      <c r="F20" s="3" t="n">
        <v>249</v>
      </c>
      <c r="G20" s="3" t="n">
        <v>254</v>
      </c>
      <c r="H20" s="3" t="n">
        <v>258</v>
      </c>
      <c r="I20" s="13" t="n">
        <v>261</v>
      </c>
      <c r="J20" s="14" t="inlineStr">
        <is>
          <t>Wisconsin Agents, 240 Compass Real Estate Agents - Compass</t>
        </is>
      </c>
    </row>
    <row r="21">
      <c r="A21" t="inlineStr">
        <is>
          <t>WY</t>
        </is>
      </c>
      <c r="B21" s="5" t="n">
        <v>80</v>
      </c>
      <c r="C21" s="3" t="n">
        <v>80</v>
      </c>
      <c r="D21" s="3" t="n">
        <v>80</v>
      </c>
      <c r="E21" s="3" t="n">
        <v>80</v>
      </c>
      <c r="F21" s="3" t="n">
        <v>78</v>
      </c>
      <c r="G21" s="3" t="n">
        <v>78</v>
      </c>
      <c r="H21" s="3" t="n">
        <v>77</v>
      </c>
      <c r="I21" s="13" t="n">
        <v>75</v>
      </c>
      <c r="J21" s="14" t="inlineStr">
        <is>
          <t>Wyoming Agents, 80 Compass Real Estate Agents - Compass</t>
        </is>
      </c>
    </row>
    <row r="22">
      <c r="A22" t="inlineStr">
        <is>
          <t>OR</t>
        </is>
      </c>
      <c r="B22" s="5" t="n">
        <v>2</v>
      </c>
      <c r="C22" s="3" t="n">
        <v>2</v>
      </c>
      <c r="D22" s="3" t="n">
        <v>2</v>
      </c>
      <c r="E22" s="3" t="n">
        <v>2</v>
      </c>
      <c r="F22" s="3" t="n">
        <v>2</v>
      </c>
      <c r="G22" s="3" t="n">
        <v>0</v>
      </c>
      <c r="H22" s="3" t="n">
        <v>0</v>
      </c>
      <c r="I22" s="13" t="n">
        <v>0</v>
      </c>
      <c r="J22" s="14" t="inlineStr">
        <is>
          <t>Oregon Agents, 2 Compass Real Estate Agents - Compass</t>
        </is>
      </c>
    </row>
    <row r="23">
      <c r="A23" t="inlineStr">
        <is>
          <t>ID</t>
        </is>
      </c>
      <c r="B23" s="5" t="n">
        <v>53</v>
      </c>
      <c r="C23" s="3" t="n">
        <v>54</v>
      </c>
      <c r="D23" s="3" t="n">
        <v>55</v>
      </c>
      <c r="E23" s="3" t="n">
        <v>56</v>
      </c>
      <c r="F23" s="3" t="n">
        <v>60</v>
      </c>
      <c r="G23" s="3" t="n">
        <v>64</v>
      </c>
      <c r="H23" s="3" t="n">
        <v>64</v>
      </c>
      <c r="I23" s="13" t="n">
        <v>70</v>
      </c>
      <c r="J23" s="14" t="inlineStr">
        <is>
          <t>Idaho Agents, 53 Compass Real Estate Agents - Compass</t>
        </is>
      </c>
    </row>
    <row r="24">
      <c r="A24" t="inlineStr">
        <is>
          <t>AZ</t>
        </is>
      </c>
      <c r="B24" s="5" t="n">
        <v>519</v>
      </c>
      <c r="C24" s="3" t="n">
        <v>545</v>
      </c>
      <c r="D24" s="3" t="n">
        <v>551</v>
      </c>
      <c r="E24" s="3" t="n">
        <v>555</v>
      </c>
      <c r="F24" s="3" t="n">
        <v>556</v>
      </c>
      <c r="G24" s="3" t="n">
        <v>603</v>
      </c>
      <c r="H24" s="3" t="n">
        <v>603</v>
      </c>
      <c r="I24" s="13" t="n">
        <v>634</v>
      </c>
      <c r="J24" s="14" t="inlineStr">
        <is>
          <t>Arizona Agents, 519 Compass Real Estate Agents - Compass</t>
        </is>
      </c>
    </row>
    <row r="25">
      <c r="A25" t="inlineStr">
        <is>
          <t>TN</t>
        </is>
      </c>
      <c r="B25" s="5" t="n">
        <v>1274</v>
      </c>
      <c r="C25" s="3" t="n">
        <v>1297</v>
      </c>
      <c r="D25" s="3" t="n">
        <v>1304</v>
      </c>
      <c r="E25" s="3" t="n">
        <v>1300</v>
      </c>
      <c r="F25" s="3" t="n">
        <v>1293</v>
      </c>
      <c r="G25" s="3" t="n">
        <v>1276</v>
      </c>
      <c r="H25" s="3" t="n">
        <v>1282</v>
      </c>
      <c r="I25" s="13" t="n">
        <v>1294</v>
      </c>
      <c r="J25" s="14" t="inlineStr">
        <is>
          <t>Tennessee Agents, 1274 Compass Real Estate Agents - Compass</t>
        </is>
      </c>
    </row>
    <row r="26">
      <c r="A26" t="inlineStr">
        <is>
          <t>MN</t>
        </is>
      </c>
      <c r="B26" s="5" t="n">
        <v>171</v>
      </c>
      <c r="C26" s="3" t="n">
        <v>170</v>
      </c>
      <c r="D26" s="3" t="n">
        <v>170</v>
      </c>
      <c r="E26" s="3" t="n">
        <v>170</v>
      </c>
      <c r="F26" s="3" t="n">
        <v>195</v>
      </c>
      <c r="G26" s="3" t="n">
        <v>197</v>
      </c>
      <c r="H26" s="3" t="n">
        <v>202</v>
      </c>
      <c r="I26" s="13" t="n">
        <v>210</v>
      </c>
      <c r="J26" s="14" t="inlineStr">
        <is>
          <t>Minnesota Agents, 171 Compass Real Estate Agents - Compass</t>
        </is>
      </c>
    </row>
    <row r="27">
      <c r="A27" t="inlineStr">
        <is>
          <t>LA</t>
        </is>
      </c>
      <c r="B27" s="5" t="n">
        <v>1214</v>
      </c>
      <c r="C27" s="3" t="n">
        <v>1214</v>
      </c>
      <c r="D27" s="3" t="n">
        <v>1213</v>
      </c>
      <c r="E27" s="3" t="n">
        <v>1203</v>
      </c>
      <c r="F27" s="3" t="n">
        <v>1183</v>
      </c>
      <c r="G27" s="3" t="n">
        <v>1100</v>
      </c>
      <c r="H27" s="3" t="n">
        <v>1098</v>
      </c>
      <c r="I27" s="13" t="n">
        <v>1086</v>
      </c>
      <c r="J27" s="14" t="inlineStr">
        <is>
          <t>Louisiana Agents, 1214 Compass Real Estate Agents - Compass</t>
        </is>
      </c>
    </row>
    <row r="28">
      <c r="A28" t="inlineStr">
        <is>
          <t>MS</t>
        </is>
      </c>
      <c r="B28" s="5" t="n">
        <v>34</v>
      </c>
      <c r="C28" s="5" t="n">
        <v>34</v>
      </c>
      <c r="D28" s="5" t="n">
        <v>33</v>
      </c>
      <c r="E28" s="5" t="n">
        <v>34</v>
      </c>
      <c r="F28" s="5" t="n">
        <v>35</v>
      </c>
      <c r="G28" s="5" t="n">
        <v>35</v>
      </c>
      <c r="H28" s="5" t="n">
        <v>30</v>
      </c>
      <c r="I28" s="15" t="n">
        <v>29</v>
      </c>
      <c r="J28" s="14" t="inlineStr">
        <is>
          <t>Mississippi Agents, 34 Compass Real Estate Agents - Compass</t>
        </is>
      </c>
    </row>
    <row r="29">
      <c r="A29" t="inlineStr">
        <is>
          <t>IN</t>
        </is>
      </c>
      <c r="B29" s="5" t="n">
        <v>125</v>
      </c>
      <c r="C29" s="3" t="n">
        <v>131</v>
      </c>
      <c r="D29" s="3" t="n">
        <v>131</v>
      </c>
      <c r="E29" s="3" t="n">
        <v>131</v>
      </c>
      <c r="F29" s="3" t="n">
        <v>128</v>
      </c>
      <c r="G29" s="3" t="n">
        <v>132</v>
      </c>
      <c r="H29" s="3" t="n">
        <v>136</v>
      </c>
      <c r="I29" s="13" t="n">
        <v>139</v>
      </c>
      <c r="J29" s="14" t="inlineStr">
        <is>
          <t>Indiana Agents, 125 Compass Real Estate Agents - Compass</t>
        </is>
      </c>
    </row>
    <row r="30">
      <c r="A30" t="inlineStr">
        <is>
          <t>GA</t>
        </is>
      </c>
      <c r="B30" s="5" t="n">
        <v>428</v>
      </c>
      <c r="C30" s="3" t="n">
        <v>433</v>
      </c>
      <c r="D30" s="3" t="n">
        <v>440</v>
      </c>
      <c r="E30" s="3" t="n">
        <v>441</v>
      </c>
      <c r="F30" s="3" t="n">
        <v>443</v>
      </c>
      <c r="G30" s="3" t="n">
        <v>467</v>
      </c>
      <c r="H30" s="3" t="n">
        <v>476</v>
      </c>
      <c r="I30" s="13" t="n">
        <v>488</v>
      </c>
      <c r="J30" s="14" t="inlineStr">
        <is>
          <t>Georgia Agents, 428 Compass Real Estate Agents - Compass</t>
        </is>
      </c>
    </row>
    <row r="31">
      <c r="A31" t="inlineStr">
        <is>
          <t>SC</t>
        </is>
      </c>
      <c r="B31" s="5" t="n">
        <v>158</v>
      </c>
      <c r="C31" s="3" t="n">
        <v>161</v>
      </c>
      <c r="D31" s="3" t="n">
        <v>162</v>
      </c>
      <c r="E31" s="3" t="n">
        <v>162</v>
      </c>
      <c r="F31" s="3" t="n">
        <v>164</v>
      </c>
      <c r="G31" s="3" t="n">
        <v>171</v>
      </c>
      <c r="H31" s="3" t="n">
        <v>172</v>
      </c>
      <c r="I31" s="13" t="n">
        <v>173</v>
      </c>
      <c r="J31" s="14" t="inlineStr">
        <is>
          <t>South Carolina Agents, 158 Compass Real Estate Agents - Compass</t>
        </is>
      </c>
    </row>
    <row r="32">
      <c r="A32" t="inlineStr">
        <is>
          <t>DE</t>
        </is>
      </c>
      <c r="B32" s="5" t="n">
        <v>263</v>
      </c>
      <c r="C32" s="3" t="n">
        <v>267</v>
      </c>
      <c r="D32" s="3" t="n">
        <v>261</v>
      </c>
      <c r="E32" s="3" t="n">
        <v>261</v>
      </c>
      <c r="F32" s="3" t="n">
        <v>260</v>
      </c>
      <c r="G32" s="3" t="n">
        <v>257</v>
      </c>
      <c r="H32" s="3" t="n">
        <v>258</v>
      </c>
      <c r="I32" s="13" t="n">
        <v>260</v>
      </c>
      <c r="J32" s="14" t="inlineStr">
        <is>
          <t>Delaware Agents, 263 Compass Real Estate Agents - Compass</t>
        </is>
      </c>
    </row>
    <row r="33">
      <c r="A33" t="inlineStr">
        <is>
          <t>CT</t>
        </is>
      </c>
      <c r="B33" s="5" t="n">
        <v>499</v>
      </c>
      <c r="C33" s="3" t="n">
        <v>501</v>
      </c>
      <c r="D33" s="3" t="n">
        <v>506</v>
      </c>
      <c r="E33" s="3" t="n">
        <v>505</v>
      </c>
      <c r="F33" s="3" t="n">
        <v>497</v>
      </c>
      <c r="G33" s="3" t="n">
        <v>514</v>
      </c>
      <c r="H33" s="3" t="n">
        <v>513</v>
      </c>
      <c r="I33" s="13" t="n">
        <v>506</v>
      </c>
      <c r="J33" s="14" t="inlineStr">
        <is>
          <t>Connecticut Agents, 499 Compass Real Estate Agents - Compass</t>
        </is>
      </c>
    </row>
    <row r="34">
      <c r="A34" t="inlineStr">
        <is>
          <t>NH</t>
        </is>
      </c>
      <c r="B34" s="5" t="n">
        <v>71</v>
      </c>
      <c r="C34" s="3" t="n">
        <v>67</v>
      </c>
      <c r="D34" s="3" t="n">
        <v>70</v>
      </c>
      <c r="E34" s="3" t="n">
        <v>67</v>
      </c>
      <c r="F34" s="3" t="n">
        <v>67</v>
      </c>
      <c r="G34" s="3" t="n">
        <v>63</v>
      </c>
      <c r="H34" s="3" t="n">
        <v>62</v>
      </c>
      <c r="I34" s="13" t="n">
        <v>64</v>
      </c>
      <c r="J34" s="14" t="inlineStr">
        <is>
          <t>New Hampshire Agents, 71 Compass Real Estate Agents - Compass</t>
        </is>
      </c>
    </row>
    <row r="35">
      <c r="A35" s="9" t="inlineStr">
        <is>
          <t>ME</t>
        </is>
      </c>
      <c r="B35" s="10" t="n">
        <v>16</v>
      </c>
      <c r="C35" s="11" t="n">
        <v>14</v>
      </c>
      <c r="D35" s="11" t="n">
        <v>14</v>
      </c>
      <c r="E35" s="11" t="n">
        <v>14</v>
      </c>
      <c r="F35" s="11" t="n">
        <v>14</v>
      </c>
      <c r="G35" s="11" t="n">
        <v>10</v>
      </c>
      <c r="H35" s="11" t="n">
        <v>10</v>
      </c>
      <c r="I35" s="16" t="n">
        <v>10</v>
      </c>
      <c r="J35" s="14" t="inlineStr">
        <is>
          <t>https://www.compass.com/agents/locations/maine/203612/</t>
        </is>
      </c>
    </row>
    <row r="36">
      <c r="A36" s="4" t="inlineStr">
        <is>
          <t>Total</t>
        </is>
      </c>
      <c r="B36" s="5">
        <f>SUM(B3:B35)</f>
        <v/>
      </c>
      <c r="C36" s="5">
        <f>SUM(C3:C35)</f>
        <v/>
      </c>
      <c r="D36" s="5">
        <f>SUM(D3:D35)</f>
        <v/>
      </c>
      <c r="E36" s="5">
        <f>SUM(E3:E35)</f>
        <v/>
      </c>
      <c r="F36" s="5">
        <f>SUM(F3:F35)</f>
        <v/>
      </c>
      <c r="G36" s="5">
        <f>SUM(G3:G35)</f>
        <v/>
      </c>
      <c r="H36" s="5">
        <f>SUM(H3:H35)</f>
        <v/>
      </c>
      <c r="I36" s="5">
        <f>SUM(I3:I35)</f>
        <v/>
      </c>
    </row>
    <row r="37">
      <c r="E37" s="3" t="inlineStr">
        <is>
          <t>ITD Chg:</t>
        </is>
      </c>
      <c r="F37" s="12">
        <f>(F36/B36)-1</f>
        <v/>
      </c>
      <c r="G37" s="12">
        <f>(G36/B36)-1</f>
        <v/>
      </c>
      <c r="H37" s="12">
        <f>(H36/B36)-1</f>
        <v/>
      </c>
    </row>
    <row r="38"/>
    <row r="39"/>
    <row r="40">
      <c r="A40" t="inlineStr">
        <is>
          <t>DC</t>
        </is>
      </c>
      <c r="B40" s="3" t="n">
        <v>1032</v>
      </c>
    </row>
    <row r="41">
      <c r="A41" t="inlineStr">
        <is>
          <t xml:space="preserve">  &gt;&gt;&gt;Massive overlap with MD and VA; even between MD and VA there is big overlap so I am excluding DC</t>
        </is>
      </c>
    </row>
    <row r="42"/>
    <row r="43"/>
    <row r="44">
      <c r="I44" s="2" t="n"/>
      <c r="J44" s="14" t="inlineStr">
        <is>
          <t>District of Columbia Agents, 1032 Compass Real Estate Agents - Compass</t>
        </is>
      </c>
    </row>
  </sheetData>
  <hyperlinks>
    <hyperlink xmlns:r="http://schemas.openxmlformats.org/officeDocument/2006/relationships" ref="J3" display="https://www.compass.com/agents/locations/california/192319/" r:id="rId1"/>
    <hyperlink xmlns:r="http://schemas.openxmlformats.org/officeDocument/2006/relationships" ref="J4" display="https://www.compass.com/agents/locations/colorado/192320/" r:id="rId2"/>
    <hyperlink xmlns:r="http://schemas.openxmlformats.org/officeDocument/2006/relationships" ref="J5" display="https://www.compass.com/agents/locations/florida/192324/" r:id="rId3"/>
    <hyperlink xmlns:r="http://schemas.openxmlformats.org/officeDocument/2006/relationships" ref="J6" display="https://www.compass.com/agents/locations/hawaii/192326/" r:id="rId4"/>
    <hyperlink xmlns:r="http://schemas.openxmlformats.org/officeDocument/2006/relationships" ref="J7" display="https://www.compass.com/agents/locations/illinois/192327/" r:id="rId5"/>
    <hyperlink xmlns:r="http://schemas.openxmlformats.org/officeDocument/2006/relationships" ref="J8" display="https://www.compass.com/agents/locations/kansas/286476/" r:id="rId6"/>
    <hyperlink xmlns:r="http://schemas.openxmlformats.org/officeDocument/2006/relationships" ref="J9" display="https://www.compass.com/agents/locations/massachusetts/192329/" r:id="rId7"/>
    <hyperlink xmlns:r="http://schemas.openxmlformats.org/officeDocument/2006/relationships" ref="J10" display="https://www.compass.com/agents/locations/maryland/192330/" r:id="rId8"/>
    <hyperlink xmlns:r="http://schemas.openxmlformats.org/officeDocument/2006/relationships" ref="J11" display="https://www.compass.com/agents/locations/missouri/192333/" r:id="rId9"/>
    <hyperlink xmlns:r="http://schemas.openxmlformats.org/officeDocument/2006/relationships" ref="J12" display="https://www.compass.com/agents/locations/north-carolina/192335/" r:id="rId10"/>
    <hyperlink xmlns:r="http://schemas.openxmlformats.org/officeDocument/2006/relationships" ref="J13" display="https://www.compass.com/agents/locations/new-jersey/192336/" r:id="rId11"/>
    <hyperlink xmlns:r="http://schemas.openxmlformats.org/officeDocument/2006/relationships" ref="J14" display="https://www.compass.com/agents/locations/nevada/192338/" r:id="rId12"/>
    <hyperlink xmlns:r="http://schemas.openxmlformats.org/officeDocument/2006/relationships" ref="J15" display="https://www.compass.com/agents/locations/new-york/192339/" r:id="rId13"/>
    <hyperlink xmlns:r="http://schemas.openxmlformats.org/officeDocument/2006/relationships" ref="J16" display="https://www.compass.com/agents/locations/pennsylvania/192342/" r:id="rId14"/>
    <hyperlink xmlns:r="http://schemas.openxmlformats.org/officeDocument/2006/relationships" ref="J17" display="https://www.compass.com/agents/locations/texas/192345/" r:id="rId15"/>
    <hyperlink xmlns:r="http://schemas.openxmlformats.org/officeDocument/2006/relationships" ref="J18" display="https://www.compass.com/agents/locations/virginia-va/30573/" r:id="rId16"/>
    <hyperlink xmlns:r="http://schemas.openxmlformats.org/officeDocument/2006/relationships" ref="J19" display="https://www.compass.com/agents/locations/washington/192347/" r:id="rId17"/>
    <hyperlink xmlns:r="http://schemas.openxmlformats.org/officeDocument/2006/relationships" ref="J20" display="https://www.compass.com/agents/locations/wisconsin/192348/" r:id="rId18"/>
    <hyperlink xmlns:r="http://schemas.openxmlformats.org/officeDocument/2006/relationships" ref="J21" display="https://www.compass.com/agents/locations/wyoming/301168/" r:id="rId19"/>
    <hyperlink xmlns:r="http://schemas.openxmlformats.org/officeDocument/2006/relationships" ref="J22" display="https://www.compass.com/agents/locations/oregon/192341/" r:id="rId20"/>
    <hyperlink xmlns:r="http://schemas.openxmlformats.org/officeDocument/2006/relationships" ref="J23" display="https://www.compass.com/agents/locations/idaho/301167/" r:id="rId21"/>
    <hyperlink xmlns:r="http://schemas.openxmlformats.org/officeDocument/2006/relationships" ref="J24" display="https://www.compass.com/agents/locations/arizona/192318/" r:id="rId22"/>
    <hyperlink xmlns:r="http://schemas.openxmlformats.org/officeDocument/2006/relationships" ref="J25" display="https://www.compass.com/agents/locations/tennessee/192344/" r:id="rId23"/>
    <hyperlink xmlns:r="http://schemas.openxmlformats.org/officeDocument/2006/relationships" ref="J26" display="https://www.compass.com/agents/locations/minnesota/192332/" r:id="rId24"/>
    <hyperlink xmlns:r="http://schemas.openxmlformats.org/officeDocument/2006/relationships" ref="J27" display="https://www.compass.com/agents/locations/louisiana/291195/" r:id="rId25"/>
    <hyperlink xmlns:r="http://schemas.openxmlformats.org/officeDocument/2006/relationships" ref="J28" display="https://www.compass.com/agents/locations/mississippi/192334/" r:id="rId26"/>
    <hyperlink xmlns:r="http://schemas.openxmlformats.org/officeDocument/2006/relationships" ref="J29" display="https://www.compass.com/agents/locations/indiana/192328/" r:id="rId27"/>
    <hyperlink xmlns:r="http://schemas.openxmlformats.org/officeDocument/2006/relationships" ref="J30" display="https://www.compass.com/agents/locations/georgia/192325/" r:id="rId28"/>
    <hyperlink xmlns:r="http://schemas.openxmlformats.org/officeDocument/2006/relationships" ref="J31" display="https://www.compass.com/agents/locations/south-carolina/192343/" r:id="rId29"/>
    <hyperlink xmlns:r="http://schemas.openxmlformats.org/officeDocument/2006/relationships" ref="J32" display="https://www.compass.com/agents/locations/delaware/192323/" r:id="rId30"/>
    <hyperlink xmlns:r="http://schemas.openxmlformats.org/officeDocument/2006/relationships" ref="J33" display="https://www.compass.com/agents/locations/connecticut/192321/" r:id="rId31"/>
    <hyperlink xmlns:r="http://schemas.openxmlformats.org/officeDocument/2006/relationships" ref="J34" display="https://www.compass.com/agents/locations/new-hampshire/203613/" r:id="rId32"/>
    <hyperlink xmlns:r="http://schemas.openxmlformats.org/officeDocument/2006/relationships" ref="J35" r:id="rId33"/>
    <hyperlink xmlns:r="http://schemas.openxmlformats.org/officeDocument/2006/relationships" ref="J44" display="https://www.compass.com/agents/locations/district-of-columbia/192322/" r:id="rId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E19" sqref="E19"/>
    </sheetView>
  </sheetViews>
  <sheetFormatPr baseColWidth="8" defaultRowHeight="15"/>
  <cols>
    <col width="68.5703125" bestFit="1" customWidth="1" min="1" max="1"/>
  </cols>
  <sheetData>
    <row r="1">
      <c r="A1" s="1" t="inlineStr">
        <is>
          <t>Source URL</t>
        </is>
      </c>
      <c r="B1" s="17" t="n">
        <v>46211</v>
      </c>
    </row>
    <row r="2">
      <c r="A2" s="2" t="inlineStr">
        <is>
          <t>https://www.compass.com/agents/locations/aspen-co/24050/</t>
        </is>
      </c>
      <c r="B2" t="n">
        <v>52</v>
      </c>
    </row>
    <row r="3">
      <c r="A3" s="2" t="inlineStr">
        <is>
          <t>https://www.compass.com/agents/locations/atlanta-ga/12627/</t>
        </is>
      </c>
      <c r="B3" t="n">
        <v>118</v>
      </c>
    </row>
    <row r="4">
      <c r="A4" s="2" t="inlineStr">
        <is>
          <t>https://www.compass.com/agents/locations/austin-tx/42626/</t>
        </is>
      </c>
      <c r="B4" t="n">
        <v>1218</v>
      </c>
    </row>
    <row r="5">
      <c r="A5" s="2" t="inlineStr">
        <is>
          <t>https://www.compass.com/agents/locations/baltimore-md/14250/</t>
        </is>
      </c>
      <c r="B5" t="n">
        <v>2</v>
      </c>
    </row>
    <row r="6">
      <c r="A6" s="2" t="inlineStr">
        <is>
          <t>https://www.compass.com/agents/locations/bellevue-wa/9972/</t>
        </is>
      </c>
      <c r="B6" t="n">
        <v>380</v>
      </c>
    </row>
    <row r="7">
      <c r="A7" s="2" t="inlineStr">
        <is>
          <t>https://www.compass.com/agents/locations/boston-ma/10545/</t>
        </is>
      </c>
      <c r="B7" t="n">
        <v>2</v>
      </c>
    </row>
    <row r="8">
      <c r="A8" s="2" t="inlineStr">
        <is>
          <t>https://www.compass.com/agents/locations/boulder-co/16175/</t>
        </is>
      </c>
      <c r="B8" t="n">
        <v>242</v>
      </c>
    </row>
    <row r="9">
      <c r="A9" s="2" t="inlineStr">
        <is>
          <t>https://www.compass.com/agents/locations/chicago-il/37237/</t>
        </is>
      </c>
      <c r="B9" t="n">
        <v>1203</v>
      </c>
    </row>
    <row r="10">
      <c r="A10" s="2" t="inlineStr">
        <is>
          <t>https://www.compass.com/agents/locations/dallas-tx/40435/</t>
        </is>
      </c>
      <c r="B10" t="n">
        <v>798</v>
      </c>
    </row>
    <row r="11">
      <c r="A11" s="2" t="inlineStr">
        <is>
          <t>https://www.compass.com/agents/locations/denver-co/28907/</t>
        </is>
      </c>
      <c r="B11" t="n">
        <v>164</v>
      </c>
    </row>
    <row r="12">
      <c r="A12" s="2" t="inlineStr">
        <is>
          <t>https://www.compass.com/agents/locations/durham-nc/11215/</t>
        </is>
      </c>
      <c r="B12" t="n">
        <v>144</v>
      </c>
    </row>
    <row r="13">
      <c r="A13" s="2" t="inlineStr">
        <is>
          <t>https://www.compass.com/agents/locations/fort-worth-tx/40574/</t>
        </is>
      </c>
      <c r="B13" t="n">
        <v>329</v>
      </c>
    </row>
    <row r="14">
      <c r="A14" s="2" t="inlineStr">
        <is>
          <t>https://www.compass.com/agents/locations/the-hamptons-ny/19874/</t>
        </is>
      </c>
      <c r="B14" t="n">
        <v>180</v>
      </c>
    </row>
    <row r="15">
      <c r="A15" s="2" t="inlineStr">
        <is>
          <t>https://www.compass.com/agents/locations/hawaii-hi/32341/</t>
        </is>
      </c>
      <c r="B15" t="n">
        <v>298</v>
      </c>
    </row>
    <row r="16">
      <c r="A16" s="2" t="inlineStr">
        <is>
          <t>https://www.compass.com/agents/locations/houston-tx/39869/</t>
        </is>
      </c>
      <c r="B16" t="n">
        <v>0</v>
      </c>
    </row>
    <row r="17">
      <c r="A17" s="2" t="inlineStr">
        <is>
          <t>https://www.compass.com/agents/locations/jackson-wy/301212/</t>
        </is>
      </c>
      <c r="B17" t="n">
        <v>75</v>
      </c>
    </row>
    <row r="18">
      <c r="A18" s="2" t="inlineStr">
        <is>
          <t>https://www.compass.com/agents/locations/jacksonville-fl/2801/</t>
        </is>
      </c>
      <c r="B18" t="n">
        <v>60</v>
      </c>
    </row>
    <row r="19">
      <c r="A19" s="2" t="inlineStr">
        <is>
          <t>https://www.compass.com/agents/locations/kansas-city-mo/286659/</t>
        </is>
      </c>
      <c r="B19" t="n">
        <v>256</v>
      </c>
    </row>
    <row r="20">
      <c r="A20" s="2" t="inlineStr">
        <is>
          <t>https://www.compass.com/agents/locations/lake-tahoe-ca/315001/</t>
        </is>
      </c>
      <c r="B20" t="n">
        <v>121</v>
      </c>
    </row>
    <row r="21">
      <c r="A21" s="2" t="inlineStr">
        <is>
          <t>https://www.compass.com/agents/locations/los-angeles-ca/12902/</t>
        </is>
      </c>
      <c r="B21" t="n">
        <v>1580</v>
      </c>
    </row>
    <row r="22">
      <c r="A22" s="2" t="inlineStr">
        <is>
          <t>https://www.compass.com/agents/locations/miami-fl/35648/</t>
        </is>
      </c>
      <c r="B22" t="n">
        <v>924</v>
      </c>
    </row>
    <row r="23">
      <c r="A23" s="2" t="inlineStr">
        <is>
          <t>https://www.compass.com/agents/locations/milwaukee-wi/289205/</t>
        </is>
      </c>
      <c r="B23" t="n">
        <v>13</v>
      </c>
    </row>
    <row r="24">
      <c r="A24" s="2" t="inlineStr">
        <is>
          <t>https://www.compass.com/agents/locations/montecito-ca/17434/</t>
        </is>
      </c>
      <c r="B24" t="n">
        <v>93</v>
      </c>
    </row>
    <row r="25">
      <c r="A25" s="2" t="inlineStr">
        <is>
          <t>https://www.compass.com/agents/locations/naples-fl/21583/</t>
        </is>
      </c>
      <c r="B25" t="n">
        <v>309</v>
      </c>
    </row>
    <row r="26">
      <c r="A26" s="2" t="inlineStr">
        <is>
          <t>https://www.compass.com/agents/locations/nashville-tn/27781/</t>
        </is>
      </c>
      <c r="B26" t="n">
        <v>982</v>
      </c>
    </row>
    <row r="27">
      <c r="A27" s="2" t="inlineStr">
        <is>
          <t>https://www.compass.com/agents/locations/new-york-ny/21429/</t>
        </is>
      </c>
      <c r="B27" t="n">
        <v>2463</v>
      </c>
    </row>
    <row r="28">
      <c r="A28" s="2" t="inlineStr">
        <is>
          <t>https://www.compass.com/agents/locations/orange-county-ca/13970/</t>
        </is>
      </c>
      <c r="B28" t="n">
        <v>946</v>
      </c>
    </row>
    <row r="29">
      <c r="A29" s="2" t="inlineStr">
        <is>
          <t>https://www.compass.com/agents/locations/orlando-fl/39022/</t>
        </is>
      </c>
      <c r="B29" t="n">
        <v>182</v>
      </c>
    </row>
    <row r="30">
      <c r="A30" s="2" t="inlineStr">
        <is>
          <t>https://www.compass.com/agents/locations/philadelphia-pa/14527/</t>
        </is>
      </c>
      <c r="B30" t="n">
        <v>617</v>
      </c>
    </row>
    <row r="31">
      <c r="A31" s="2" t="inlineStr">
        <is>
          <t>https://www.compass.com/agents/locations/pittsburgh-pa/26675/</t>
        </is>
      </c>
      <c r="B31" t="n">
        <v>163</v>
      </c>
    </row>
    <row r="32">
      <c r="A32" s="2" t="inlineStr">
        <is>
          <t>https://www.compass.com/agents/locations/raleigh-nc/11232/</t>
        </is>
      </c>
      <c r="B32" t="n">
        <v>287</v>
      </c>
    </row>
    <row r="33">
      <c r="A33" s="2" t="inlineStr">
        <is>
          <t>https://www.compass.com/agents/locations/san-diego-ca/20243/</t>
        </is>
      </c>
      <c r="B33" t="n">
        <v>922</v>
      </c>
    </row>
    <row r="34">
      <c r="A34" s="2" t="inlineStr">
        <is>
          <t>https://www.compass.com/agents/locations/san-francisco-ca/44474/</t>
        </is>
      </c>
      <c r="B34" t="n">
        <v>921</v>
      </c>
    </row>
    <row r="35">
      <c r="A35" s="2" t="inlineStr">
        <is>
          <t>https://www.compass.com/agents/locations/santa-barbara-ca/17456/</t>
        </is>
      </c>
      <c r="B35" t="n">
        <v>140</v>
      </c>
    </row>
    <row r="36">
      <c r="A36" s="2" t="inlineStr">
        <is>
          <t>https://www.compass.com/agents/locations/seattle-wa/9962/</t>
        </is>
      </c>
      <c r="B36" t="n">
        <v>535</v>
      </c>
    </row>
    <row r="37">
      <c r="A37" s="2" t="inlineStr">
        <is>
          <t>https://www.compass.com/agents/locations/tampa-fl/33352/</t>
        </is>
      </c>
      <c r="B37" t="n">
        <v>299</v>
      </c>
    </row>
    <row r="38">
      <c r="A38" s="2" t="inlineStr">
        <is>
          <t>https://www.compass.com/agents/locations/telluride-co/36404/</t>
        </is>
      </c>
      <c r="B38" t="n">
        <v>6</v>
      </c>
    </row>
    <row r="39">
      <c r="A39" s="2" t="inlineStr">
        <is>
          <t>https://www.compass.com/agents/locations/vail-co/24036/</t>
        </is>
      </c>
      <c r="B39" t="n">
        <v>25</v>
      </c>
    </row>
    <row r="40">
      <c r="A40" s="2" t="inlineStr">
        <is>
          <t>https://www.compass.com/agents/locations/washington-dc/30230/</t>
        </is>
      </c>
      <c r="B40" t="n">
        <v>1001</v>
      </c>
    </row>
    <row r="41">
      <c r="A41" s="2" t="inlineStr">
        <is>
          <t>https://www.compass.com/agents/locations/westchester-county-ny/780/</t>
        </is>
      </c>
      <c r="B41" t="n">
        <v>472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Wood</dc:creator>
  <dcterms:created xsi:type="dcterms:W3CDTF">2025-09-17T14:03:23Z</dcterms:created>
  <dcterms:modified xsi:type="dcterms:W3CDTF">2026-07-08T09:52:59Z</dcterms:modified>
  <cp:lastModifiedBy>Christopher Wood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0x010100EC5BE39BA83DE1488970686D8671FA6A</vt:lpwstr>
  </property>
  <property name="MediaServiceImageTags" fmtid="{D5CDD505-2E9C-101B-9397-08002B2CF9AE}" pid="3">
    <vt:lpwstr/>
  </property>
  <property name="openfin-excel-object-id" fmtid="{D5CDD505-2E9C-101B-9397-08002B2CF9AE}" pid="4">
    <vt:lpwstr>bdf8ff66-d58b-4645-9892-6daf01f2f8dd</vt:lpwstr>
  </property>
</Properties>
</file>